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ários\Mairon\Documentos\Curso DIO\Desafio Planilha de investimento\"/>
    </mc:Choice>
  </mc:AlternateContent>
  <xr:revisionPtr revIDLastSave="0" documentId="13_ncr:1_{EECBF991-D3F7-4E5B-A08F-0AE3860FB219}" xr6:coauthVersionLast="47" xr6:coauthVersionMax="47" xr10:uidLastSave="{00000000-0000-0000-0000-000000000000}"/>
  <bookViews>
    <workbookView xWindow="-120" yWindow="-120" windowWidth="20730" windowHeight="11040" xr2:uid="{52F41816-4096-4060-BCA3-1B15BD1AF4E7}"/>
  </bookViews>
  <sheets>
    <sheet name="Simulador" sheetId="5" r:id="rId1"/>
    <sheet name="DADOS" sheetId="2" state="hidden" r:id="rId2"/>
  </sheets>
  <definedNames>
    <definedName name="_xlnm._FilterDatabase" localSheetId="0" hidden="1">Simulador!$B$18:$B$24</definedName>
    <definedName name="_xlchart.v1.0" hidden="1">Simulador!$B$17</definedName>
    <definedName name="_xlchart.v1.1" hidden="1">Simulador!$B$19:$B$24</definedName>
    <definedName name="_xlchart.v1.2" hidden="1">Simulador!$B$23:$C$30</definedName>
    <definedName name="_xlchart.v1.3" hidden="1">Simulador!$C$18</definedName>
    <definedName name="_xlchart.v1.4" hidden="1">Simulador!$C$18:$C$24</definedName>
    <definedName name="_xlchart.v1.5" hidden="1">Simulador!$C$19:$C$24</definedName>
    <definedName name="_xlchart.v1.6" hidden="1">Simulador!$D$18</definedName>
    <definedName name="_xlchart.v1.7" hidden="1">Simulador!$D$19:$D$24</definedName>
    <definedName name="_xlchart.v1.8" hidden="1">Simulador!$D$23:$D$30</definedName>
    <definedName name="anos_investidos">Simulador!$D$14</definedName>
    <definedName name="aporte">#REF!</definedName>
    <definedName name="dividendos">#REF!</definedName>
    <definedName name="patrimonio">#REF!</definedName>
    <definedName name="perfil">#REF!</definedName>
    <definedName name="perfil_investidor">Simulador!$D$11</definedName>
    <definedName name="perfil1">#REF!</definedName>
    <definedName name="qnd_anos">#REF!</definedName>
    <definedName name="RENDIMENTO">#REF!</definedName>
    <definedName name="rendimento_carteira">#REF!</definedName>
    <definedName name="rendimento_mensal">Simulador!$H$11</definedName>
    <definedName name="SALARIO">#REF!</definedName>
    <definedName name="salario_mensal">Simulador!$D$12</definedName>
    <definedName name="taxa_mensal">#REF!</definedName>
    <definedName name="tx_provento">Simulador!$H$12</definedName>
    <definedName name="vl_investido">Simulador!$D$13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H21" i="5"/>
  <c r="H22" i="5"/>
  <c r="H23" i="5"/>
  <c r="H24" i="5"/>
  <c r="H19" i="5"/>
  <c r="G20" i="5"/>
  <c r="G21" i="5"/>
  <c r="G22" i="5"/>
  <c r="G23" i="5"/>
  <c r="G24" i="5"/>
  <c r="G19" i="5"/>
  <c r="H15" i="5"/>
  <c r="H14" i="5"/>
  <c r="H13" i="5"/>
  <c r="D15" i="5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</calcChain>
</file>

<file path=xl/sharedStrings.xml><?xml version="1.0" encoding="utf-8"?>
<sst xmlns="http://schemas.openxmlformats.org/spreadsheetml/2006/main" count="74" uniqueCount="40">
  <si>
    <t xml:space="preserve">Qual seu perfil de investidor ? </t>
  </si>
  <si>
    <t xml:space="preserve">RECOMENDAÇAO DE DISTRIBUIÇAO DE INVESTIMENTO </t>
  </si>
  <si>
    <t>Quanto deseja investir por mês?</t>
  </si>
  <si>
    <t>TIPO DE FII</t>
  </si>
  <si>
    <t>Percentual Sugerido</t>
  </si>
  <si>
    <t>Por quantos anos?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</si>
  <si>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</si>
  <si>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</si>
  <si>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</si>
  <si>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</si>
  <si>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</si>
  <si>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</si>
  <si>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</si>
  <si>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</si>
  <si>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</si>
  <si>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</si>
  <si>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Moderado</t>
  </si>
  <si>
    <t>Agressivo</t>
  </si>
  <si>
    <t>AGRESSIVO</t>
  </si>
  <si>
    <t>DIVIDENDO MENSAL</t>
  </si>
  <si>
    <t xml:space="preserve">DADOS DO INVESTIDOR </t>
  </si>
  <si>
    <t>Salário Mensal</t>
  </si>
  <si>
    <t>Provento Mensal Recebido (Dividendos)</t>
  </si>
  <si>
    <t>TAXAS E RENDIMENTOS</t>
  </si>
  <si>
    <r>
      <t xml:space="preserve">Percentual do Salário investido </t>
    </r>
    <r>
      <rPr>
        <b/>
        <sz val="9"/>
        <color rgb="FF22360E"/>
        <rFont val="Segoe UI"/>
        <family val="2"/>
      </rPr>
      <t>Atualmente</t>
    </r>
  </si>
  <si>
    <t>Patrimônio Final Acumulado</t>
  </si>
  <si>
    <t>Dividendo mensal</t>
  </si>
  <si>
    <r>
      <t xml:space="preserve">Sugestão de Investimento Mensal </t>
    </r>
    <r>
      <rPr>
        <b/>
        <sz val="9"/>
        <color rgb="FF22360E"/>
        <rFont val="Segoe UI"/>
        <family val="2"/>
      </rPr>
      <t>(30%)</t>
    </r>
  </si>
  <si>
    <t>Dividendo Mensal</t>
  </si>
  <si>
    <t>Valor Acumulado</t>
  </si>
  <si>
    <t>Tempo Investido</t>
  </si>
  <si>
    <t>Valor Investido</t>
  </si>
  <si>
    <t xml:space="preserve">Taxa atual de Rendimento Mensal Médio </t>
  </si>
  <si>
    <t>2 anos</t>
  </si>
  <si>
    <t>5 anos</t>
  </si>
  <si>
    <t>10 anos</t>
  </si>
  <si>
    <t>15 anos</t>
  </si>
  <si>
    <t>20 anos</t>
  </si>
  <si>
    <t>30 anos</t>
  </si>
  <si>
    <t xml:space="preserve">PATRIMÔNIO ACUMULADO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</si>
</sst>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w Cen MT Condensed"/>
      <family val="2"/>
    </font>
    <font>
      <b/>
      <sz val="16"/>
      <name val="Tw Cen MT Condensed"/>
      <family val="2"/>
    </font>
    <font>
      <b/>
      <sz val="11"/>
      <color theme="0"/>
      <name val="Segoe UI"/>
      <family val="2"/>
    </font>
    <font>
      <sz val="9"/>
      <color rgb="FF22360E"/>
      <name val="Segoe UI"/>
      <family val="2"/>
    </font>
    <font>
      <b/>
      <sz val="9"/>
      <color rgb="FF22360E"/>
      <name val="Segoe UI"/>
      <family val="2"/>
    </font>
    <font>
      <b/>
      <sz val="9"/>
      <color theme="0"/>
      <name val="Segoe UI"/>
      <family val="2"/>
    </font>
    <font>
      <sz val="8"/>
      <color rgb="FF22360E"/>
      <name val="Segoe UI"/>
      <family val="2"/>
    </font>
    <font>
      <b/>
      <sz val="8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3D6739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2360E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rgb="FF22360E"/>
      </left>
      <right style="thin">
        <color theme="0" tint="-0.14996795556505021"/>
      </right>
      <top style="medium">
        <color rgb="FF22360E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rgb="FF22360E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22360E"/>
      </right>
      <top style="medium">
        <color rgb="FF22360E"/>
      </top>
      <bottom style="thin">
        <color theme="0" tint="-0.14996795556505021"/>
      </bottom>
      <diagonal/>
    </border>
    <border>
      <left style="medium">
        <color rgb="FF22360E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22360E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22360E"/>
      </left>
      <right style="medium">
        <color theme="0" tint="-4.9989318521683403E-2"/>
      </right>
      <top/>
      <bottom style="medium">
        <color rgb="FF22360E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rgb="FF22360E"/>
      </bottom>
      <diagonal/>
    </border>
    <border>
      <left style="medium">
        <color theme="0" tint="-4.9989318521683403E-2"/>
      </left>
      <right style="medium">
        <color rgb="FF22360E"/>
      </right>
      <top/>
      <bottom style="medium">
        <color rgb="FF22360E"/>
      </bottom>
      <diagonal/>
    </border>
    <border>
      <left/>
      <right style="medium">
        <color theme="0" tint="-4.9989318521683403E-2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rgb="FFFDFDFD"/>
      </left>
      <right style="medium">
        <color rgb="FFFDFDFD"/>
      </right>
      <top/>
      <bottom/>
      <diagonal/>
    </border>
    <border>
      <left style="medium">
        <color theme="0" tint="-4.9989318521683403E-2"/>
      </left>
      <right style="medium">
        <color rgb="FF22360E"/>
      </right>
      <top style="medium">
        <color theme="0" tint="-4.9989318521683403E-2"/>
      </top>
      <bottom style="medium">
        <color rgb="FF22360E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rgb="FF22360E"/>
      </bottom>
      <diagonal/>
    </border>
    <border>
      <left style="medium">
        <color rgb="FFFDFDFD"/>
      </left>
      <right style="medium">
        <color rgb="FF22360E"/>
      </right>
      <top/>
      <bottom/>
      <diagonal/>
    </border>
    <border>
      <left style="medium">
        <color theme="0" tint="-4.9989318521683403E-2"/>
      </left>
      <right style="medium">
        <color rgb="FF22360E"/>
      </right>
      <top/>
      <bottom style="medium">
        <color theme="0" tint="-4.9989318521683403E-2"/>
      </bottom>
      <diagonal/>
    </border>
    <border>
      <left style="medium">
        <color rgb="FF22360E"/>
      </left>
      <right/>
      <top style="medium">
        <color rgb="FF22360E"/>
      </top>
      <bottom style="medium">
        <color rgb="FF3D6739"/>
      </bottom>
      <diagonal/>
    </border>
    <border>
      <left/>
      <right/>
      <top style="medium">
        <color rgb="FF22360E"/>
      </top>
      <bottom style="medium">
        <color rgb="FF3D6739"/>
      </bottom>
      <diagonal/>
    </border>
    <border>
      <left/>
      <right style="medium">
        <color rgb="FF22360E"/>
      </right>
      <top style="medium">
        <color rgb="FF22360E"/>
      </top>
      <bottom style="medium">
        <color rgb="FF3D6739"/>
      </bottom>
      <diagonal/>
    </border>
    <border>
      <left style="medium">
        <color rgb="FF22360E"/>
      </left>
      <right style="medium">
        <color rgb="FFFDFDFD"/>
      </right>
      <top/>
      <bottom/>
      <diagonal/>
    </border>
    <border>
      <left style="medium">
        <color rgb="FF22360E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rgb="FF22360E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rgb="FF22360E"/>
      </left>
      <right style="medium">
        <color theme="0" tint="-4.9989318521683403E-2"/>
      </right>
      <top style="medium">
        <color theme="0" tint="-4.9989318521683403E-2"/>
      </top>
      <bottom style="medium">
        <color rgb="FF22360E"/>
      </bottom>
      <diagonal/>
    </border>
    <border>
      <left style="medium">
        <color rgb="FF22360E"/>
      </left>
      <right/>
      <top style="medium">
        <color rgb="FF22360E"/>
      </top>
      <bottom/>
      <diagonal/>
    </border>
    <border>
      <left/>
      <right/>
      <top style="medium">
        <color rgb="FF22360E"/>
      </top>
      <bottom/>
      <diagonal/>
    </border>
    <border>
      <left/>
      <right style="medium">
        <color rgb="FF22360E"/>
      </right>
      <top style="medium">
        <color rgb="FF22360E"/>
      </top>
      <bottom/>
      <diagonal/>
    </border>
    <border>
      <left style="medium">
        <color rgb="FF22360E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22360E"/>
      </right>
      <top/>
      <bottom style="thin">
        <color theme="0" tint="-4.9989318521683403E-2"/>
      </bottom>
      <diagonal/>
    </border>
    <border>
      <left style="medium">
        <color rgb="FF22360E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22360E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22360E"/>
      </left>
      <right style="thin">
        <color theme="0" tint="-4.9989318521683403E-2"/>
      </right>
      <top style="thin">
        <color theme="0" tint="-4.9989318521683403E-2"/>
      </top>
      <bottom style="medium">
        <color rgb="FF22360E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rgb="FF22360E"/>
      </bottom>
      <diagonal/>
    </border>
    <border>
      <left style="medium">
        <color rgb="FF22360E"/>
      </left>
      <right/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rgb="FF22360E"/>
      </right>
      <top style="thin">
        <color theme="0" tint="-0.14996795556505021"/>
      </top>
      <bottom style="medium">
        <color theme="0" tint="-4.9989318521683403E-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2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8" fontId="9" fillId="6" borderId="5" xfId="0" applyNumberFormat="1" applyFont="1" applyFill="1" applyBorder="1" applyAlignment="1">
      <alignment horizontal="right" vertical="center"/>
    </xf>
    <xf numFmtId="0" fontId="5" fillId="4" borderId="6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164" fontId="7" fillId="6" borderId="13" xfId="1" applyNumberFormat="1" applyFont="1" applyFill="1" applyBorder="1" applyAlignment="1">
      <alignment horizontal="center" vertical="center"/>
    </xf>
    <xf numFmtId="0" fontId="10" fillId="7" borderId="15" xfId="2" applyFont="1" applyFill="1" applyBorder="1" applyAlignment="1">
      <alignment horizontal="center" vertical="center"/>
    </xf>
    <xf numFmtId="9" fontId="7" fillId="6" borderId="3" xfId="1" applyFont="1" applyFill="1" applyBorder="1" applyAlignment="1">
      <alignment horizontal="center" vertical="center"/>
    </xf>
    <xf numFmtId="164" fontId="7" fillId="6" borderId="13" xfId="0" applyNumberFormat="1" applyFont="1" applyFill="1" applyBorder="1" applyAlignment="1">
      <alignment horizontal="right" vertical="center"/>
    </xf>
    <xf numFmtId="164" fontId="7" fillId="5" borderId="10" xfId="0" applyNumberFormat="1" applyFont="1" applyFill="1" applyBorder="1" applyAlignment="1" applyProtection="1">
      <alignment horizontal="center" vertical="center"/>
      <protection locked="0"/>
    </xf>
    <xf numFmtId="10" fontId="7" fillId="5" borderId="10" xfId="0" applyNumberFormat="1" applyFont="1" applyFill="1" applyBorder="1" applyAlignment="1" applyProtection="1">
      <alignment horizontal="center" vertical="center"/>
      <protection locked="0"/>
    </xf>
    <xf numFmtId="8" fontId="9" fillId="6" borderId="17" xfId="0" applyNumberFormat="1" applyFont="1" applyFill="1" applyBorder="1" applyAlignment="1">
      <alignment horizontal="right" vertical="center"/>
    </xf>
    <xf numFmtId="8" fontId="9" fillId="6" borderId="16" xfId="0" applyNumberFormat="1" applyFont="1" applyFill="1" applyBorder="1" applyAlignment="1">
      <alignment horizontal="right" vertical="center"/>
    </xf>
    <xf numFmtId="0" fontId="10" fillId="7" borderId="18" xfId="2" applyFont="1" applyFill="1" applyBorder="1" applyAlignment="1">
      <alignment horizontal="center" vertical="center"/>
    </xf>
    <xf numFmtId="8" fontId="9" fillId="6" borderId="19" xfId="0" applyNumberFormat="1" applyFont="1" applyFill="1" applyBorder="1" applyAlignment="1">
      <alignment horizontal="right" vertical="center"/>
    </xf>
    <xf numFmtId="0" fontId="5" fillId="4" borderId="20" xfId="2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/>
    </xf>
    <xf numFmtId="0" fontId="10" fillId="7" borderId="23" xfId="2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left" vertical="center"/>
    </xf>
    <xf numFmtId="164" fontId="7" fillId="6" borderId="33" xfId="0" applyNumberFormat="1" applyFont="1" applyFill="1" applyBorder="1" applyAlignment="1">
      <alignment horizontal="right" vertical="center"/>
    </xf>
    <xf numFmtId="164" fontId="7" fillId="6" borderId="33" xfId="1" applyNumberFormat="1" applyFont="1" applyFill="1" applyBorder="1" applyAlignment="1">
      <alignment horizontal="right" vertical="center"/>
    </xf>
    <xf numFmtId="0" fontId="6" fillId="6" borderId="34" xfId="0" applyFont="1" applyFill="1" applyBorder="1" applyAlignment="1">
      <alignment horizontal="left" vertical="center"/>
    </xf>
    <xf numFmtId="9" fontId="7" fillId="6" borderId="35" xfId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left" vertical="center"/>
    </xf>
    <xf numFmtId="10" fontId="7" fillId="6" borderId="37" xfId="0" applyNumberFormat="1" applyFont="1" applyFill="1" applyBorder="1" applyAlignment="1">
      <alignment horizontal="center" vertical="center"/>
    </xf>
    <xf numFmtId="8" fontId="7" fillId="6" borderId="37" xfId="0" applyNumberFormat="1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left" vertical="center"/>
    </xf>
    <xf numFmtId="0" fontId="6" fillId="6" borderId="17" xfId="0" applyFont="1" applyFill="1" applyBorder="1" applyAlignment="1">
      <alignment horizontal="left" vertical="center"/>
    </xf>
    <xf numFmtId="164" fontId="7" fillId="6" borderId="16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 applyProtection="1">
      <alignment horizontal="center" vertical="center"/>
      <protection locked="0"/>
    </xf>
  </cellXfs>
  <cellStyles count="4">
    <cellStyle name="Ênfase6" xfId="2" builtinId="49"/>
    <cellStyle name="Moeda 2" xfId="3" xr:uid="{D461523E-2253-4993-8692-96FF1BB7BCF3}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22360E"/>
      <color rgb="FF3D6739"/>
      <color rgb="FFFDFDFD"/>
      <color rgb="FFD3D3D3"/>
      <color rgb="FF388643"/>
      <color rgb="FF4678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_xlchart.v1.5</cx:f>
      </cx:numDim>
    </cx:data>
    <cx:data id="1">
      <cx:strDim type="cat">
        <cx:f>_xlchart.v1.1</cx:f>
      </cx:strDim>
      <cx:numDim type="size">
        <cx:f>_xlchart.v1.7</cx:f>
      </cx:numDim>
    </cx:data>
  </cx:chartData>
  <cx:chart>
    <cx:title pos="t" align="ctr" overlay="0">
      <cx:tx>
        <cx:txData>
          <cx:v>Composição da Carteira - Tipos de FIIs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2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Composição da Carteira - Tipos de FIIs</a:t>
          </a:r>
        </a:p>
      </cx:txPr>
    </cx:title>
    <cx:plotArea>
      <cx:plotAreaRegion>
        <cx:series layoutId="treemap" uniqueId="{736307D3-AFA5-42E5-8EAC-E81B62E373C6}" formatIdx="0">
          <cx:tx>
            <cx:txData>
              <cx:f>_xlchart.v1.3</cx:f>
              <cx:v>Percentual Sugerido</cx:v>
            </cx:txData>
          </cx:tx>
          <cx:dataLabels pos="ctr">
            <cx:visibility seriesName="0" categoryName="0" value="0"/>
          </cx:dataLabels>
          <cx:dataId val="0"/>
          <cx:layoutPr>
            <cx:parentLabelLayout val="overlapping"/>
          </cx:layoutPr>
        </cx:series>
        <cx:series layoutId="treemap" hidden="1" uniqueId="{041D53B7-7A63-4708-AA69-D638B773614E}" formatIdx="1">
          <cx:tx>
            <cx:txData>
              <cx:f>_xlchart.v1.6</cx:f>
              <cx:v>Valor Investido</cx:v>
            </cx:txData>
          </cx:tx>
          <cx:dataLabels pos="ctr">
            <cx:visibility seriesName="0" categoryName="0" value="0"/>
          </cx:dataLabels>
          <cx:dataId val="1"/>
          <cx:layoutPr>
            <cx:parentLabelLayout val="none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/>
          </a:pPr>
          <a:endParaRPr lang="pt-BR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25</xdr:row>
      <xdr:rowOff>0</xdr:rowOff>
    </xdr:from>
    <xdr:to>
      <xdr:col>8</xdr:col>
      <xdr:colOff>9526</xdr:colOff>
      <xdr:row>35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5319C9A-3348-46F5-9386-512FC80F2B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4724400"/>
              <a:ext cx="88392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847726</xdr:colOff>
      <xdr:row>0</xdr:row>
      <xdr:rowOff>45982</xdr:rowOff>
    </xdr:from>
    <xdr:to>
      <xdr:col>7</xdr:col>
      <xdr:colOff>381000</xdr:colOff>
      <xdr:row>8</xdr:row>
      <xdr:rowOff>99834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33A0271-677D-E6FB-029B-7AB918A6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45982"/>
          <a:ext cx="6848474" cy="1225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1DE7-DFE8-4F67-9DD5-1CA5B7DD0CD4}">
  <dimension ref="A1:H37"/>
  <sheetViews>
    <sheetView showGridLines="0" tabSelected="1" workbookViewId="0">
      <selection activeCell="I16" sqref="I16"/>
    </sheetView>
  </sheetViews>
  <sheetFormatPr defaultColWidth="0" defaultRowHeight="15" zeroHeight="1" x14ac:dyDescent="0.25"/>
  <cols>
    <col min="1" max="1" width="1.85546875" style="8" customWidth="1"/>
    <col min="2" max="2" width="21.28515625" style="9" customWidth="1"/>
    <col min="3" max="4" width="19.28515625" style="10" customWidth="1"/>
    <col min="5" max="5" width="4" style="9" customWidth="1"/>
    <col min="6" max="6" width="27.42578125" style="9" customWidth="1"/>
    <col min="7" max="7" width="18.42578125" style="9" customWidth="1"/>
    <col min="8" max="8" width="17.7109375" style="10" customWidth="1"/>
    <col min="9" max="9" width="3.85546875" customWidth="1"/>
    <col min="10" max="16384" width="9.140625" hidden="1"/>
  </cols>
  <sheetData>
    <row r="1" spans="2:8" x14ac:dyDescent="0.25"/>
    <row r="2" spans="2:8" ht="13.9" customHeight="1" x14ac:dyDescent="0.25"/>
    <row r="3" spans="2:8" x14ac:dyDescent="0.25"/>
    <row r="4" spans="2:8" x14ac:dyDescent="0.25"/>
    <row r="5" spans="2:8" ht="6" customHeight="1" x14ac:dyDescent="0.25"/>
    <row r="6" spans="2:8" ht="13.15" customHeight="1" x14ac:dyDescent="0.25"/>
    <row r="8" spans="2:8" x14ac:dyDescent="0.25"/>
    <row r="9" spans="2:8" ht="22.9" customHeight="1" thickBot="1" x14ac:dyDescent="0.3"/>
    <row r="10" spans="2:8" ht="16.5" x14ac:dyDescent="0.25">
      <c r="B10" s="14" t="s">
        <v>20</v>
      </c>
      <c r="C10" s="15"/>
      <c r="D10" s="16"/>
      <c r="F10" s="14" t="s">
        <v>23</v>
      </c>
      <c r="G10" s="15"/>
      <c r="H10" s="16"/>
    </row>
    <row r="11" spans="2:8" x14ac:dyDescent="0.25">
      <c r="B11" s="17" t="s">
        <v>0</v>
      </c>
      <c r="C11" s="18"/>
      <c r="D11" s="28" t="s">
        <v>18</v>
      </c>
      <c r="F11" s="17" t="s">
        <v>32</v>
      </c>
      <c r="G11" s="18"/>
      <c r="H11" s="29">
        <v>1.0789999999999999E-2</v>
      </c>
    </row>
    <row r="12" spans="2:8" x14ac:dyDescent="0.25">
      <c r="B12" s="17" t="s">
        <v>21</v>
      </c>
      <c r="C12" s="18"/>
      <c r="D12" s="28">
        <v>3000</v>
      </c>
      <c r="F12" s="17" t="s">
        <v>22</v>
      </c>
      <c r="G12" s="18"/>
      <c r="H12" s="29">
        <v>0.01</v>
      </c>
    </row>
    <row r="13" spans="2:8" ht="15.75" thickBot="1" x14ac:dyDescent="0.3">
      <c r="B13" s="19" t="s">
        <v>2</v>
      </c>
      <c r="C13" s="20"/>
      <c r="D13" s="28">
        <v>300</v>
      </c>
      <c r="F13" s="51" t="s">
        <v>24</v>
      </c>
      <c r="G13" s="23"/>
      <c r="H13" s="52">
        <f>vl_investido/salario_mensal</f>
        <v>0.1</v>
      </c>
    </row>
    <row r="14" spans="2:8" ht="15.75" thickBot="1" x14ac:dyDescent="0.3">
      <c r="B14" s="17" t="s">
        <v>5</v>
      </c>
      <c r="C14" s="18"/>
      <c r="D14" s="57">
        <v>5</v>
      </c>
      <c r="F14" s="51" t="s">
        <v>25</v>
      </c>
      <c r="G14" s="23"/>
      <c r="H14" s="53">
        <f>FV(rendimento_mensal,anos_investidos*12,vl_investido*-1)</f>
        <v>25133.074199546292</v>
      </c>
    </row>
    <row r="15" spans="2:8" ht="15.75" thickBot="1" x14ac:dyDescent="0.3">
      <c r="B15" s="21" t="s">
        <v>27</v>
      </c>
      <c r="C15" s="22"/>
      <c r="D15" s="24">
        <f>salario_mensal*30%</f>
        <v>900</v>
      </c>
      <c r="F15" s="54" t="s">
        <v>26</v>
      </c>
      <c r="G15" s="55"/>
      <c r="H15" s="56">
        <f>H14*tx_provento</f>
        <v>251.33074199546292</v>
      </c>
    </row>
    <row r="16" spans="2:8" ht="15.75" thickBot="1" x14ac:dyDescent="0.3"/>
    <row r="17" spans="1:8" ht="18.600000000000001" customHeight="1" thickBot="1" x14ac:dyDescent="0.3">
      <c r="B17" s="41" t="s">
        <v>1</v>
      </c>
      <c r="C17" s="42"/>
      <c r="D17" s="43"/>
      <c r="F17" s="34" t="s">
        <v>39</v>
      </c>
      <c r="G17" s="35"/>
      <c r="H17" s="36" t="s">
        <v>19</v>
      </c>
    </row>
    <row r="18" spans="1:8" x14ac:dyDescent="0.25">
      <c r="B18" s="44" t="s">
        <v>3</v>
      </c>
      <c r="C18" s="12" t="s">
        <v>4</v>
      </c>
      <c r="D18" s="45" t="s">
        <v>31</v>
      </c>
      <c r="F18" s="37" t="s">
        <v>30</v>
      </c>
      <c r="G18" s="25" t="s">
        <v>29</v>
      </c>
      <c r="H18" s="32" t="s">
        <v>28</v>
      </c>
    </row>
    <row r="19" spans="1:8" ht="15.75" thickBot="1" x14ac:dyDescent="0.3">
      <c r="A19" s="8">
        <v>2</v>
      </c>
      <c r="B19" s="46" t="s">
        <v>10</v>
      </c>
      <c r="C19" s="26">
        <f>VLOOKUP(perfil_investidor&amp;"-"&amp;B19,DADOS!A:D,4,)</f>
        <v>0.2</v>
      </c>
      <c r="D19" s="47">
        <f>vl_investido*C19</f>
        <v>60</v>
      </c>
      <c r="F19" s="38" t="s">
        <v>33</v>
      </c>
      <c r="G19" s="13">
        <f>FV(rendimento_mensal,A19*12,vl_investido*-1)</f>
        <v>8168.2881892935648</v>
      </c>
      <c r="H19" s="33">
        <f>G19*tx_provento</f>
        <v>81.682881892935654</v>
      </c>
    </row>
    <row r="20" spans="1:8" ht="15.75" thickBot="1" x14ac:dyDescent="0.3">
      <c r="A20" s="8">
        <v>5</v>
      </c>
      <c r="B20" s="46" t="s">
        <v>9</v>
      </c>
      <c r="C20" s="26">
        <f>VLOOKUP(perfil_investidor&amp;"-"&amp;B20,DADOS!A:D,4,)</f>
        <v>0.05</v>
      </c>
      <c r="D20" s="47">
        <f>vl_investido*C20</f>
        <v>15</v>
      </c>
      <c r="F20" s="39" t="s">
        <v>34</v>
      </c>
      <c r="G20" s="13">
        <f>FV(rendimento_mensal,A20*12,vl_investido*-1)</f>
        <v>25133.074199546292</v>
      </c>
      <c r="H20" s="33">
        <f>G20*tx_provento</f>
        <v>251.33074199546292</v>
      </c>
    </row>
    <row r="21" spans="1:8" ht="15.75" thickBot="1" x14ac:dyDescent="0.3">
      <c r="A21" s="8">
        <v>10</v>
      </c>
      <c r="B21" s="46" t="s">
        <v>8</v>
      </c>
      <c r="C21" s="26">
        <f>VLOOKUP(perfil_investidor&amp;"-"&amp;B21,DADOS!A:D,4,)</f>
        <v>0.05</v>
      </c>
      <c r="D21" s="47">
        <f>vl_investido*C21</f>
        <v>15</v>
      </c>
      <c r="F21" s="39" t="s">
        <v>35</v>
      </c>
      <c r="G21" s="13">
        <f>FV(rendimento_mensal,A21*12,vl_investido*-1)</f>
        <v>72985.263759051653</v>
      </c>
      <c r="H21" s="33">
        <f>G21*tx_provento</f>
        <v>729.85263759051657</v>
      </c>
    </row>
    <row r="22" spans="1:8" ht="15.75" thickBot="1" x14ac:dyDescent="0.3">
      <c r="A22" s="8">
        <v>15</v>
      </c>
      <c r="B22" s="46" t="s">
        <v>11</v>
      </c>
      <c r="C22" s="26">
        <f>VLOOKUP(perfil_investidor&amp;"-"&amp;B22,DADOS!A:D,4,)</f>
        <v>0.1</v>
      </c>
      <c r="D22" s="48">
        <f>vl_investido*C22</f>
        <v>30</v>
      </c>
      <c r="F22" s="39" t="s">
        <v>36</v>
      </c>
      <c r="G22" s="13">
        <f>FV(rendimento_mensal,A22*12,vl_investido*-1)</f>
        <v>164093.57894001628</v>
      </c>
      <c r="H22" s="33">
        <f>G22*tx_provento</f>
        <v>1640.9357894001628</v>
      </c>
    </row>
    <row r="23" spans="1:8" ht="15.75" thickBot="1" x14ac:dyDescent="0.3">
      <c r="A23" s="8">
        <v>20</v>
      </c>
      <c r="B23" s="46" t="s">
        <v>6</v>
      </c>
      <c r="C23" s="26">
        <f>VLOOKUP(perfil_investidor&amp;"-"&amp;B23,DADOS!A:D,4,)</f>
        <v>0.5</v>
      </c>
      <c r="D23" s="47">
        <f>vl_investido*C23</f>
        <v>150</v>
      </c>
      <c r="F23" s="39" t="s">
        <v>37</v>
      </c>
      <c r="G23" s="13">
        <f>FV(rendimento_mensal,A23*12,vl_investido*-1)</f>
        <v>337559.52002912416</v>
      </c>
      <c r="H23" s="33">
        <f>G23*tx_provento</f>
        <v>3375.5952002912418</v>
      </c>
    </row>
    <row r="24" spans="1:8" ht="15.75" thickBot="1" x14ac:dyDescent="0.3">
      <c r="A24" s="8">
        <v>30</v>
      </c>
      <c r="B24" s="49" t="s">
        <v>7</v>
      </c>
      <c r="C24" s="50">
        <f>VLOOKUP(perfil_investidor&amp;"-"&amp;B24,DADOS!A:D,4,)</f>
        <v>0.1</v>
      </c>
      <c r="D24" s="27">
        <f>vl_investido*C24</f>
        <v>30</v>
      </c>
      <c r="F24" s="40" t="s">
        <v>38</v>
      </c>
      <c r="G24" s="30">
        <f>FV(rendimento_mensal,A24*12,vl_investido*-1)</f>
        <v>1296650.8965014142</v>
      </c>
      <c r="H24" s="31">
        <f>G24*tx_provento</f>
        <v>12966.508965014144</v>
      </c>
    </row>
    <row r="25" spans="1:8" ht="20.25" x14ac:dyDescent="0.25">
      <c r="E25" s="11"/>
    </row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x14ac:dyDescent="0.25"/>
    <row r="34" x14ac:dyDescent="0.25"/>
    <row r="35" x14ac:dyDescent="0.25"/>
    <row r="36" x14ac:dyDescent="0.25"/>
    <row r="37" x14ac:dyDescent="0.25"/>
  </sheetData>
  <sheetProtection selectLockedCells="1"/>
  <mergeCells count="11">
    <mergeCell ref="F11:G11"/>
    <mergeCell ref="B14:C14"/>
    <mergeCell ref="B12:C12"/>
    <mergeCell ref="B15:C15"/>
    <mergeCell ref="F10:H10"/>
    <mergeCell ref="F15:G15"/>
    <mergeCell ref="B17:D17"/>
    <mergeCell ref="F17:H17"/>
    <mergeCell ref="B10:D10"/>
    <mergeCell ref="B11:C11"/>
    <mergeCell ref="F12:G12"/>
  </mergeCells>
  <dataValidations count="1">
    <dataValidation type="list" allowBlank="1" showInputMessage="1" showErrorMessage="1" sqref="D11" xr:uid="{5A5048B1-823C-41D5-904C-D26EDFDE28C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95A5-8E42-4973-BE86-9E0642C99B19}">
  <dimension ref="A1:D19"/>
  <sheetViews>
    <sheetView workbookViewId="0">
      <selection activeCell="H13" sqref="H13"/>
    </sheetView>
  </sheetViews>
  <sheetFormatPr defaultRowHeight="15" x14ac:dyDescent="0.25"/>
  <cols>
    <col min="1" max="1" width="29.28515625" bestFit="1" customWidth="1"/>
    <col min="2" max="2" width="11.28515625" bestFit="1" customWidth="1"/>
    <col min="3" max="3" width="18" bestFit="1" customWidth="1"/>
    <col min="4" max="4" width="4.42578125" bestFit="1" customWidth="1"/>
  </cols>
  <sheetData>
    <row r="1" spans="1:4" x14ac:dyDescent="0.25">
      <c r="A1" s="6" t="s">
        <v>12</v>
      </c>
      <c r="B1" s="6" t="s">
        <v>13</v>
      </c>
      <c r="C1" s="7" t="s">
        <v>3</v>
      </c>
      <c r="D1" s="7" t="s">
        <v>14</v>
      </c>
    </row>
    <row r="2" spans="1:4" x14ac:dyDescent="0.25">
      <c r="A2" t="str">
        <f>B2&amp;"-"&amp;C2</f>
        <v>Conservador-PAPEL</v>
      </c>
      <c r="B2" t="s">
        <v>15</v>
      </c>
      <c r="C2" s="1" t="s">
        <v>6</v>
      </c>
      <c r="D2" s="2">
        <v>0.3</v>
      </c>
    </row>
    <row r="3" spans="1:4" x14ac:dyDescent="0.25">
      <c r="A3" t="str">
        <f t="shared" ref="A3:A19" si="0">B3&amp;"-"&amp;C3</f>
        <v>Conservador-TIJOLO</v>
      </c>
      <c r="B3" t="s">
        <v>15</v>
      </c>
      <c r="C3" s="1" t="s">
        <v>7</v>
      </c>
      <c r="D3" s="2">
        <v>0.5</v>
      </c>
    </row>
    <row r="4" spans="1:4" x14ac:dyDescent="0.25">
      <c r="A4" t="str">
        <f t="shared" si="0"/>
        <v>Conservador-HÍBRIDOS</v>
      </c>
      <c r="B4" t="s">
        <v>15</v>
      </c>
      <c r="C4" s="1" t="s">
        <v>8</v>
      </c>
      <c r="D4" s="2">
        <v>0.1</v>
      </c>
    </row>
    <row r="5" spans="1:4" x14ac:dyDescent="0.25">
      <c r="A5" t="str">
        <f t="shared" si="0"/>
        <v>Conservador-FOFs</v>
      </c>
      <c r="B5" t="s">
        <v>15</v>
      </c>
      <c r="C5" s="1" t="s">
        <v>9</v>
      </c>
      <c r="D5" s="2">
        <v>0.1</v>
      </c>
    </row>
    <row r="6" spans="1:4" x14ac:dyDescent="0.25">
      <c r="A6" t="str">
        <f t="shared" si="0"/>
        <v>Conservador-DESENVOLVIMENTO</v>
      </c>
      <c r="B6" t="s">
        <v>15</v>
      </c>
      <c r="C6" s="1" t="s">
        <v>10</v>
      </c>
      <c r="D6" s="2">
        <v>0</v>
      </c>
    </row>
    <row r="7" spans="1:4" ht="15.75" thickBot="1" x14ac:dyDescent="0.3">
      <c r="A7" t="str">
        <f t="shared" si="0"/>
        <v>Conservador-HOTELARIAS</v>
      </c>
      <c r="B7" s="3" t="s">
        <v>15</v>
      </c>
      <c r="C7" s="4" t="s">
        <v>11</v>
      </c>
      <c r="D7" s="5">
        <v>0</v>
      </c>
    </row>
    <row r="8" spans="1:4" x14ac:dyDescent="0.25">
      <c r="A8" t="str">
        <f t="shared" si="0"/>
        <v>Moderado-PAPEL</v>
      </c>
      <c r="B8" t="s">
        <v>16</v>
      </c>
      <c r="C8" s="1" t="s">
        <v>6</v>
      </c>
      <c r="D8" s="2">
        <v>0.32</v>
      </c>
    </row>
    <row r="9" spans="1:4" x14ac:dyDescent="0.25">
      <c r="A9" t="str">
        <f t="shared" si="0"/>
        <v>Moderado-TIJOLO</v>
      </c>
      <c r="B9" t="s">
        <v>16</v>
      </c>
      <c r="C9" s="1" t="s">
        <v>7</v>
      </c>
      <c r="D9" s="2">
        <v>0.35</v>
      </c>
    </row>
    <row r="10" spans="1:4" x14ac:dyDescent="0.25">
      <c r="A10" t="str">
        <f t="shared" si="0"/>
        <v>Moderado-HÍBRIDOS</v>
      </c>
      <c r="B10" t="s">
        <v>16</v>
      </c>
      <c r="C10" s="1" t="s">
        <v>8</v>
      </c>
      <c r="D10" s="2">
        <v>0.08</v>
      </c>
    </row>
    <row r="11" spans="1:4" x14ac:dyDescent="0.25">
      <c r="A11" t="str">
        <f t="shared" si="0"/>
        <v>Moderado-FOFs</v>
      </c>
      <c r="B11" t="s">
        <v>16</v>
      </c>
      <c r="C11" s="1" t="s">
        <v>9</v>
      </c>
      <c r="D11" s="2">
        <v>0.05</v>
      </c>
    </row>
    <row r="12" spans="1:4" x14ac:dyDescent="0.25">
      <c r="A12" t="str">
        <f t="shared" si="0"/>
        <v>Moderado-DESENVOLVIMENTO</v>
      </c>
      <c r="B12" t="s">
        <v>16</v>
      </c>
      <c r="C12" s="1" t="s">
        <v>10</v>
      </c>
      <c r="D12" s="2">
        <v>0.1</v>
      </c>
    </row>
    <row r="13" spans="1:4" ht="15.75" thickBot="1" x14ac:dyDescent="0.3">
      <c r="A13" t="str">
        <f t="shared" si="0"/>
        <v>Moderado-HOTELARIAS</v>
      </c>
      <c r="B13" s="3" t="s">
        <v>16</v>
      </c>
      <c r="C13" s="4" t="s">
        <v>11</v>
      </c>
      <c r="D13" s="5">
        <v>0.1</v>
      </c>
    </row>
    <row r="14" spans="1:4" x14ac:dyDescent="0.25">
      <c r="A14" t="str">
        <f t="shared" si="0"/>
        <v>Agressivo-PAPEL</v>
      </c>
      <c r="B14" t="s">
        <v>17</v>
      </c>
      <c r="C14" s="1" t="s">
        <v>6</v>
      </c>
      <c r="D14" s="2">
        <v>0.5</v>
      </c>
    </row>
    <row r="15" spans="1:4" x14ac:dyDescent="0.25">
      <c r="A15" t="str">
        <f t="shared" si="0"/>
        <v>Agressivo-TIJOLO</v>
      </c>
      <c r="B15" t="s">
        <v>17</v>
      </c>
      <c r="C15" s="1" t="s">
        <v>7</v>
      </c>
      <c r="D15" s="2">
        <v>0.1</v>
      </c>
    </row>
    <row r="16" spans="1:4" x14ac:dyDescent="0.25">
      <c r="A16" t="str">
        <f t="shared" si="0"/>
        <v>Agressivo-HÍBRIDOS</v>
      </c>
      <c r="B16" t="s">
        <v>17</v>
      </c>
      <c r="C16" s="1" t="s">
        <v>8</v>
      </c>
      <c r="D16" s="2">
        <v>0.05</v>
      </c>
    </row>
    <row r="17" spans="1:4" x14ac:dyDescent="0.25">
      <c r="A17" t="str">
        <f t="shared" si="0"/>
        <v>Agressivo-FOFs</v>
      </c>
      <c r="B17" t="s">
        <v>17</v>
      </c>
      <c r="C17" s="1" t="s">
        <v>9</v>
      </c>
      <c r="D17" s="2">
        <v>0.05</v>
      </c>
    </row>
    <row r="18" spans="1:4" x14ac:dyDescent="0.25">
      <c r="A18" t="str">
        <f t="shared" si="0"/>
        <v>Agressivo-DESENVOLVIMENTO</v>
      </c>
      <c r="B18" t="s">
        <v>17</v>
      </c>
      <c r="C18" s="1" t="s">
        <v>10</v>
      </c>
      <c r="D18" s="2">
        <v>0.2</v>
      </c>
    </row>
    <row r="19" spans="1:4" x14ac:dyDescent="0.25">
      <c r="A19" t="str">
        <f t="shared" si="0"/>
        <v>Agressivo-HOTELARIAS</v>
      </c>
      <c r="B19" t="s">
        <v>17</v>
      </c>
      <c r="C19" s="1" t="s">
        <v>11</v>
      </c>
      <c r="D19" s="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DADOS</vt:lpstr>
      <vt:lpstr>anos_investidos</vt:lpstr>
      <vt:lpstr>perfil_investidor</vt:lpstr>
      <vt:lpstr>rendimento_mensal</vt:lpstr>
      <vt:lpstr>salario_mensal</vt:lpstr>
      <vt:lpstr>tx_provento</vt:lpstr>
      <vt:lpstr>vl_investido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cp:keywords/>
  <dc:description/>
  <cp:lastModifiedBy>Mairon Oliveira</cp:lastModifiedBy>
  <cp:revision/>
  <dcterms:created xsi:type="dcterms:W3CDTF">2025-06-14T19:25:24Z</dcterms:created>
  <dcterms:modified xsi:type="dcterms:W3CDTF">2025-12-29T19:21:23Z</dcterms:modified>
  <cp:category/>
  <cp:contentStatus/>
</cp:coreProperties>
</file>